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</sheets>
  <definedNames>
    <definedName name="_xlnm._FilterDatabase" localSheetId="2" hidden="1">'Project plan'!$A$1:$Q$6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FFFFFF"/>
    </font>
    <font>
      <name val="Arial"/>
      <i val="1"/>
      <sz val="9"/>
    </font>
    <font>
      <name val="Arial"/>
      <b val="1"/>
      <color rgb="000B122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B122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166" fontId="7" fillId="4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2" fillId="2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  <dxf>
      <fill>
        <patternFill patternType="solid">
          <fgColor rgb="00EAEC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Conditional Access Baseline Kit: Top 5</t>
        </is>
      </c>
      <c r="B1" s="2" t="n"/>
    </row>
    <row r="2">
      <c r="A2" s="3" t="inlineStr">
        <is>
          <t>Version</t>
        </is>
      </c>
      <c r="B2" s="2" t="inlineStr">
        <is>
          <t>1.0 (2026-10-28; facts re-read on Microsoft Learn 2026-10-28; validated: quality gate, read-only guard, PowerShell 7.4 parse, Excel recalc)</t>
        </is>
      </c>
    </row>
    <row r="3">
      <c r="A3" s="3" t="inlineStr">
        <is>
          <t>What this is</t>
        </is>
      </c>
      <c r="B3" s="2" t="inlineStr">
        <is>
          <t>The same backlog as the Jira CSV, as a project plan for teams without Jira. One row per control on 'Project plan'; 'Dashboard' shows progress.</t>
        </is>
      </c>
    </row>
    <row r="4">
      <c r="A4" s="4" t="inlineStr">
        <is>
          <t>Your cells</t>
        </is>
      </c>
      <c r="B4" s="2" t="inlineStr">
        <is>
          <t>Yellow cells on 'Project plan': Owner, Start, Due, Status, Done date, Notes. Everything else is filled in or calculated.</t>
        </is>
      </c>
    </row>
    <row r="5">
      <c r="A5" s="3" t="inlineStr">
        <is>
          <t>Status values</t>
        </is>
      </c>
      <c r="B5" s="2" t="inlineStr">
        <is>
          <t>To do, In progress, Blocked, Done, Not applicable. Pick from the drop-down.</t>
        </is>
      </c>
    </row>
    <row r="6">
      <c r="A6" s="3" t="inlineStr">
        <is>
          <t>% complete</t>
        </is>
      </c>
      <c r="B6" s="2" t="inlineStr">
        <is>
          <t>Done = 100%. In progress = 50% (assumption: a simple midpoint, so the dashboard moves before a control is finished). Everything else = 0%. 'Not applicable' rows are left out of the totals.</t>
        </is>
      </c>
    </row>
    <row r="7">
      <c r="A7" s="3" t="inlineStr">
        <is>
          <t>Effort (h)</t>
        </is>
      </c>
      <c r="B7" s="2" t="inlineStr">
        <is>
          <t>Hands-on hours from the guide: upper end of a range, minutes converted to hours. Waiting time (DNS, rollout weeks, recurring reviews) is not included.</t>
        </is>
      </c>
    </row>
    <row r="8">
      <c r="A8" s="3" t="inlineStr">
        <is>
          <t>Overdue</t>
        </is>
      </c>
      <c r="B8" s="2" t="inlineStr">
        <is>
          <t>Due date before today and status not Done or Not applicable.</t>
        </is>
      </c>
    </row>
    <row r="9">
      <c r="A9" s="3" t="inlineStr">
        <is>
          <t>Example row</t>
        </is>
      </c>
      <c r="B9" s="2" t="inlineStr">
        <is>
          <t>Owner: j.doe · Start: 03/11/2026 · Due: 07/11/2026 · Status: In progress · Done date: (empty until Done) · Notes: Report-only since 03/11, review on 06/11.</t>
        </is>
      </c>
    </row>
    <row r="10">
      <c r="A10" s="3" t="inlineStr">
        <is>
          <t>Details per control</t>
        </is>
      </c>
      <c r="B10" s="2" t="inlineStr">
        <is>
          <t>Why, steps, read-only check, verify, licence and sources are in the guide (.md) that ships in the same zip.</t>
        </is>
      </c>
    </row>
    <row r="11">
      <c r="A11" s="3" t="inlineStr">
        <is>
          <t>Disclaimer</t>
        </is>
      </c>
      <c r="B11" s="2" t="inlineStr">
        <is>
          <t>Not affiliated with or endorsed by Microsoft. Test every change in Report-only or on a pilot group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Conditional Access Baseline Kit: Top 5 — progress</t>
        </is>
      </c>
    </row>
    <row r="2">
      <c r="A2" s="6" t="inlineStr">
        <is>
          <t>All figures are formulas over 'Project plan'. 'Not applicable' rows are excluded from % complete.</t>
        </is>
      </c>
    </row>
    <row r="4">
      <c r="A4" s="7" t="inlineStr">
        <is>
          <t>By area</t>
        </is>
      </c>
    </row>
    <row r="5">
      <c r="A5" s="8" t="inlineStr">
        <is>
          <t>Area</t>
        </is>
      </c>
      <c r="B5" s="8" t="inlineStr">
        <is>
          <t>Controls</t>
        </is>
      </c>
      <c r="C5" s="8" t="inlineStr">
        <is>
          <t>Done</t>
        </is>
      </c>
      <c r="D5" s="8" t="inlineStr">
        <is>
          <t>In progress</t>
        </is>
      </c>
      <c r="E5" s="8" t="inlineStr">
        <is>
          <t>Blocked</t>
        </is>
      </c>
      <c r="F5" s="8" t="inlineStr">
        <is>
          <t>Not applicable</t>
        </is>
      </c>
      <c r="G5" s="8" t="inlineStr">
        <is>
          <t>% complete</t>
        </is>
      </c>
      <c r="H5" s="8" t="inlineStr">
        <is>
          <t>Overdue</t>
        </is>
      </c>
      <c r="I5" s="8" t="inlineStr">
        <is>
          <t>Hours left</t>
        </is>
      </c>
    </row>
    <row r="6">
      <c r="A6" s="9" t="inlineStr">
        <is>
          <t>Foundation and emergency access</t>
        </is>
      </c>
      <c r="B6" s="9">
        <f>COUNTIFS('Project plan'!$C$2:$C$6,$A6)</f>
        <v/>
      </c>
      <c r="C6" s="9">
        <f>COUNTIFS('Project plan'!$C$2:$C$6,$A6,'Project plan'!$L$2:$L$6,"Done")</f>
        <v/>
      </c>
      <c r="D6" s="9">
        <f>COUNTIFS('Project plan'!$C$2:$C$6,$A6,'Project plan'!$L$2:$L$6,"In progress")</f>
        <v/>
      </c>
      <c r="E6" s="9">
        <f>COUNTIFS('Project plan'!$C$2:$C$6,$A6,'Project plan'!$L$2:$L$6,"Blocked")</f>
        <v/>
      </c>
      <c r="F6" s="9">
        <f>COUNTIFS('Project plan'!$C$2:$C$6,$A6,'Project plan'!$L$2:$L$6,"Not applicable")</f>
        <v/>
      </c>
      <c r="G6" s="10">
        <f>IFERROR(SUMIFS('Project plan'!$N$2:$N$6,'Project plan'!$C$2:$C$6,$A6,'Project plan'!$L$2:$L$6,"&lt;&gt;Not applicable")/(B6-F6),0)</f>
        <v/>
      </c>
      <c r="H6" s="9">
        <f>COUNTIFS('Project plan'!$C$2:$C$6,$A6,'Project plan'!$O$2:$O$6,"Yes")</f>
        <v/>
      </c>
      <c r="I6" s="11">
        <f>SUMIFS('Project plan'!$G$2:$G$6,'Project plan'!$C$2:$C$6,$A6,'Project plan'!$L$2:$L$6,"&lt;&gt;Done",'Project plan'!$L$2:$L$6,"&lt;&gt;Not applicable")</f>
        <v/>
      </c>
    </row>
    <row r="7">
      <c r="A7" s="9" t="inlineStr">
        <is>
          <t>Strong authentication for everyone</t>
        </is>
      </c>
      <c r="B7" s="9">
        <f>COUNTIFS('Project plan'!$C$2:$C$6,$A7)</f>
        <v/>
      </c>
      <c r="C7" s="9">
        <f>COUNTIFS('Project plan'!$C$2:$C$6,$A7,'Project plan'!$L$2:$L$6,"Done")</f>
        <v/>
      </c>
      <c r="D7" s="9">
        <f>COUNTIFS('Project plan'!$C$2:$C$6,$A7,'Project plan'!$L$2:$L$6,"In progress")</f>
        <v/>
      </c>
      <c r="E7" s="9">
        <f>COUNTIFS('Project plan'!$C$2:$C$6,$A7,'Project plan'!$L$2:$L$6,"Blocked")</f>
        <v/>
      </c>
      <c r="F7" s="9">
        <f>COUNTIFS('Project plan'!$C$2:$C$6,$A7,'Project plan'!$L$2:$L$6,"Not applicable")</f>
        <v/>
      </c>
      <c r="G7" s="10">
        <f>IFERROR(SUMIFS('Project plan'!$N$2:$N$6,'Project plan'!$C$2:$C$6,$A7,'Project plan'!$L$2:$L$6,"&lt;&gt;Not applicable")/(B7-F7),0)</f>
        <v/>
      </c>
      <c r="H7" s="9">
        <f>COUNTIFS('Project plan'!$C$2:$C$6,$A7,'Project plan'!$O$2:$O$6,"Yes")</f>
        <v/>
      </c>
      <c r="I7" s="11">
        <f>SUMIFS('Project plan'!$G$2:$G$6,'Project plan'!$C$2:$C$6,$A7,'Project plan'!$L$2:$L$6,"&lt;&gt;Done",'Project plan'!$L$2:$L$6,"&lt;&gt;Not applicable")</f>
        <v/>
      </c>
    </row>
    <row r="8">
      <c r="A8" s="9" t="inlineStr">
        <is>
          <t>Block weak sign-in paths</t>
        </is>
      </c>
      <c r="B8" s="9">
        <f>COUNTIFS('Project plan'!$C$2:$C$6,$A8)</f>
        <v/>
      </c>
      <c r="C8" s="9">
        <f>COUNTIFS('Project plan'!$C$2:$C$6,$A8,'Project plan'!$L$2:$L$6,"Done")</f>
        <v/>
      </c>
      <c r="D8" s="9">
        <f>COUNTIFS('Project plan'!$C$2:$C$6,$A8,'Project plan'!$L$2:$L$6,"In progress")</f>
        <v/>
      </c>
      <c r="E8" s="9">
        <f>COUNTIFS('Project plan'!$C$2:$C$6,$A8,'Project plan'!$L$2:$L$6,"Blocked")</f>
        <v/>
      </c>
      <c r="F8" s="9">
        <f>COUNTIFS('Project plan'!$C$2:$C$6,$A8,'Project plan'!$L$2:$L$6,"Not applicable")</f>
        <v/>
      </c>
      <c r="G8" s="10">
        <f>IFERROR(SUMIFS('Project plan'!$N$2:$N$6,'Project plan'!$C$2:$C$6,$A8,'Project plan'!$L$2:$L$6,"&lt;&gt;Not applicable")/(B8-F8),0)</f>
        <v/>
      </c>
      <c r="H8" s="9">
        <f>COUNTIFS('Project plan'!$C$2:$C$6,$A8,'Project plan'!$O$2:$O$6,"Yes")</f>
        <v/>
      </c>
      <c r="I8" s="11">
        <f>SUMIFS('Project plan'!$G$2:$G$6,'Project plan'!$C$2:$C$6,$A8,'Project plan'!$L$2:$L$6,"&lt;&gt;Done",'Project plan'!$L$2:$L$6,"&lt;&gt;Not applicable")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3">
        <f>IFERROR(SUMIFS('Project plan'!$N$2:$N$6,'Project plan'!$L$2:$L$6,"&lt;&gt;Not applicable")/(B9-F9),0)</f>
        <v/>
      </c>
      <c r="H9" s="12">
        <f>SUM(H6:H8)</f>
        <v/>
      </c>
      <c r="I9" s="14">
        <f>SUM(I6:I8)</f>
        <v/>
      </c>
    </row>
    <row r="11">
      <c r="A11" s="7" t="inlineStr">
        <is>
          <t>By sprint</t>
        </is>
      </c>
    </row>
    <row r="12">
      <c r="A12" s="8" t="inlineStr">
        <is>
          <t>Sprint</t>
        </is>
      </c>
      <c r="B12" s="8" t="inlineStr">
        <is>
          <t>Controls</t>
        </is>
      </c>
      <c r="C12" s="8" t="inlineStr">
        <is>
          <t>Done</t>
        </is>
      </c>
      <c r="D12" s="8" t="inlineStr">
        <is>
          <t>In progress</t>
        </is>
      </c>
      <c r="E12" s="8" t="inlineStr">
        <is>
          <t>Blocked</t>
        </is>
      </c>
      <c r="F12" s="8" t="inlineStr">
        <is>
          <t>Not applicable</t>
        </is>
      </c>
      <c r="G12" s="8" t="inlineStr">
        <is>
          <t>% complete</t>
        </is>
      </c>
      <c r="H12" s="8" t="inlineStr">
        <is>
          <t>Overdue</t>
        </is>
      </c>
      <c r="I12" s="8" t="inlineStr">
        <is>
          <t>Hours left</t>
        </is>
      </c>
    </row>
    <row r="13">
      <c r="A13" s="9" t="inlineStr">
        <is>
          <t>Sprint 1 - Foundation</t>
        </is>
      </c>
      <c r="B13" s="9">
        <f>COUNTIFS('Project plan'!$D$2:$D$6,$A13)</f>
        <v/>
      </c>
      <c r="C13" s="9">
        <f>COUNTIFS('Project plan'!$D$2:$D$6,$A13,'Project plan'!$L$2:$L$6,"Done")</f>
        <v/>
      </c>
      <c r="D13" s="9">
        <f>COUNTIFS('Project plan'!$D$2:$D$6,$A13,'Project plan'!$L$2:$L$6,"In progress")</f>
        <v/>
      </c>
      <c r="E13" s="9">
        <f>COUNTIFS('Project plan'!$D$2:$D$6,$A13,'Project plan'!$L$2:$L$6,"Blocked")</f>
        <v/>
      </c>
      <c r="F13" s="9">
        <f>COUNTIFS('Project plan'!$D$2:$D$6,$A13,'Project plan'!$L$2:$L$6,"Not applicable")</f>
        <v/>
      </c>
      <c r="G13" s="10">
        <f>IFERROR(SUMIFS('Project plan'!$N$2:$N$6,'Project plan'!$D$2:$D$6,$A13,'Project plan'!$L$2:$L$6,"&lt;&gt;Not applicable")/(B13-F13),0)</f>
        <v/>
      </c>
      <c r="H13" s="9">
        <f>COUNTIFS('Project plan'!$D$2:$D$6,$A13,'Project plan'!$O$2:$O$6,"Yes")</f>
        <v/>
      </c>
      <c r="I13" s="11">
        <f>SUMIFS('Project plan'!$G$2:$G$6,'Project plan'!$D$2:$D$6,$A13,'Project plan'!$L$2:$L$6,"&lt;&gt;Done",'Project plan'!$L$2:$L$6,"&lt;&gt;Not applicable")</f>
        <v/>
      </c>
    </row>
    <row r="14">
      <c r="A14" s="9" t="inlineStr">
        <is>
          <t>Sprint 2 - Enforce MFA and block legacy</t>
        </is>
      </c>
      <c r="B14" s="9">
        <f>COUNTIFS('Project plan'!$D$2:$D$6,$A14)</f>
        <v/>
      </c>
      <c r="C14" s="9">
        <f>COUNTIFS('Project plan'!$D$2:$D$6,$A14,'Project plan'!$L$2:$L$6,"Done")</f>
        <v/>
      </c>
      <c r="D14" s="9">
        <f>COUNTIFS('Project plan'!$D$2:$D$6,$A14,'Project plan'!$L$2:$L$6,"In progress")</f>
        <v/>
      </c>
      <c r="E14" s="9">
        <f>COUNTIFS('Project plan'!$D$2:$D$6,$A14,'Project plan'!$L$2:$L$6,"Blocked")</f>
        <v/>
      </c>
      <c r="F14" s="9">
        <f>COUNTIFS('Project plan'!$D$2:$D$6,$A14,'Project plan'!$L$2:$L$6,"Not applicable")</f>
        <v/>
      </c>
      <c r="G14" s="10">
        <f>IFERROR(SUMIFS('Project plan'!$N$2:$N$6,'Project plan'!$D$2:$D$6,$A14,'Project plan'!$L$2:$L$6,"&lt;&gt;Not applicable")/(B14-F14),0)</f>
        <v/>
      </c>
      <c r="H14" s="9">
        <f>COUNTIFS('Project plan'!$D$2:$D$6,$A14,'Project plan'!$O$2:$O$6,"Yes")</f>
        <v/>
      </c>
      <c r="I14" s="11">
        <f>SUMIFS('Project plan'!$G$2:$G$6,'Project plan'!$D$2:$D$6,$A14,'Project plan'!$L$2:$L$6,"&lt;&gt;Done",'Project plan'!$L$2:$L$6,"&lt;&gt;Not applicable")</f>
        <v/>
      </c>
    </row>
    <row r="15">
      <c r="A15" s="12" t="inlineStr">
        <is>
          <t>Total</t>
        </is>
      </c>
      <c r="B15" s="12">
        <f>SUM(B13:B14)</f>
        <v/>
      </c>
      <c r="C15" s="12">
        <f>SUM(C13:C14)</f>
        <v/>
      </c>
      <c r="D15" s="12">
        <f>SUM(D13:D14)</f>
        <v/>
      </c>
      <c r="E15" s="12">
        <f>SUM(E13:E14)</f>
        <v/>
      </c>
      <c r="F15" s="12">
        <f>SUM(F13:F14)</f>
        <v/>
      </c>
      <c r="G15" s="13">
        <f>IFERROR(SUMIFS('Project plan'!$N$2:$N$6,'Project plan'!$L$2:$L$6,"&lt;&gt;Not applicable")/(B15-F15),0)</f>
        <v/>
      </c>
      <c r="H15" s="12">
        <f>SUM(H13:H14)</f>
        <v/>
      </c>
      <c r="I15" s="14">
        <f>SUM(I13:I14)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24" customWidth="1" min="4" max="4"/>
    <col width="10" customWidth="1" min="5" max="5"/>
    <col width="14" customWidth="1" min="6" max="6"/>
    <col width="10" customWidth="1" min="7" max="7"/>
    <col width="3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1" customWidth="1" min="14" max="14"/>
    <col width="9" customWidth="1" min="15" max="15"/>
    <col width="50" customWidth="1" min="16" max="16"/>
    <col width="36" customWidth="1" min="17" max="17"/>
  </cols>
  <sheetData>
    <row r="1" ht="30" customHeight="1">
      <c r="A1" s="8" t="inlineStr">
        <is>
          <t>ID</t>
        </is>
      </c>
      <c r="B1" s="8" t="inlineStr">
        <is>
          <t>Control</t>
        </is>
      </c>
      <c r="C1" s="8" t="inlineStr">
        <is>
          <t>Area</t>
        </is>
      </c>
      <c r="D1" s="8" t="inlineStr">
        <is>
          <t>Sprint</t>
        </is>
      </c>
      <c r="E1" s="8" t="inlineStr">
        <is>
          <t>Priority</t>
        </is>
      </c>
      <c r="F1" s="8" t="inlineStr">
        <is>
          <t>Effort (guide)</t>
        </is>
      </c>
      <c r="G1" s="8" t="inlineStr">
        <is>
          <t>Effort (h)</t>
        </is>
      </c>
      <c r="H1" s="8" t="inlineStr">
        <is>
          <t>Licence</t>
        </is>
      </c>
      <c r="I1" s="8" t="inlineStr">
        <is>
          <t>Owner</t>
        </is>
      </c>
      <c r="J1" s="8" t="inlineStr">
        <is>
          <t>Start</t>
        </is>
      </c>
      <c r="K1" s="8" t="inlineStr">
        <is>
          <t>Due</t>
        </is>
      </c>
      <c r="L1" s="8" t="inlineStr">
        <is>
          <t>Status</t>
        </is>
      </c>
      <c r="M1" s="8" t="inlineStr">
        <is>
          <t>Done date</t>
        </is>
      </c>
      <c r="N1" s="8" t="inlineStr">
        <is>
          <t>% complete</t>
        </is>
      </c>
      <c r="O1" s="8" t="inlineStr">
        <is>
          <t>Overdue</t>
        </is>
      </c>
      <c r="P1" s="8" t="inlineStr">
        <is>
          <t>Verify (done when…)</t>
        </is>
      </c>
      <c r="Q1" s="8" t="inlineStr">
        <is>
          <t>Notes</t>
        </is>
      </c>
    </row>
    <row r="2">
      <c r="A2" s="15" t="inlineStr">
        <is>
          <t>CA01</t>
        </is>
      </c>
      <c r="B2" s="16" t="inlineStr">
        <is>
          <t>Create two emergency access accounts, exclude them from every policy and alert on their use</t>
        </is>
      </c>
      <c r="C2" s="15" t="inlineStr">
        <is>
          <t>Foundation and emergency access</t>
        </is>
      </c>
      <c r="D2" s="15" t="inlineStr">
        <is>
          <t>Sprint 1 - Foundation</t>
        </is>
      </c>
      <c r="E2" s="15" t="inlineStr">
        <is>
          <t>Highest</t>
        </is>
      </c>
      <c r="F2" s="15" t="inlineStr">
        <is>
          <t>2 h</t>
        </is>
      </c>
      <c r="G2" s="17" t="n">
        <v>2</v>
      </c>
      <c r="H2" s="16" t="inlineStr">
        <is>
          <t>Accounts: any edition. Alert rule: Azure Monitor / Log Analytics (pay-as-you-go ingestion, usually small).</t>
        </is>
      </c>
      <c r="I2" s="18" t="n"/>
      <c r="J2" s="19" t="n"/>
      <c r="K2" s="19" t="n"/>
      <c r="L2" s="18" t="inlineStr">
        <is>
          <t>To do</t>
        </is>
      </c>
      <c r="M2" s="19" t="n"/>
      <c r="N2" s="20">
        <f>IF(L2="Done",1,IF(L2="In progress",0.5,0))</f>
        <v/>
      </c>
      <c r="O2" s="15">
        <f>IF(AND(ISNUMBER(K2),K2&lt;TODAY(),L2&lt;&gt;"Done",L2&lt;&gt;"Not applicable"),"Yes","")</f>
        <v/>
      </c>
      <c r="P2" s="16" t="inlineStr">
        <is>
          <t>Two emergency accounts exist with phishing-resistant credentials; every active policy that blocks or restricts excludes them; a test sign-in raised the alert within minutes.</t>
        </is>
      </c>
      <c r="Q2" s="21" t="n"/>
    </row>
    <row r="3">
      <c r="A3" s="15" t="inlineStr">
        <is>
          <t>CA02</t>
        </is>
      </c>
      <c r="B3" s="16" t="inlineStr">
        <is>
          <t>Name policies by persona and create every new policy in Report-only first</t>
        </is>
      </c>
      <c r="C3" s="15" t="inlineStr">
        <is>
          <t>Foundation and emergency access</t>
        </is>
      </c>
      <c r="D3" s="15" t="inlineStr">
        <is>
          <t>Sprint 1 - Foundation</t>
        </is>
      </c>
      <c r="E3" s="15" t="inlineStr">
        <is>
          <t>Highest</t>
        </is>
      </c>
      <c r="F3" s="15" t="inlineStr">
        <is>
          <t>1 h</t>
        </is>
      </c>
      <c r="G3" s="17" t="n">
        <v>1</v>
      </c>
      <c r="H3" s="16" t="inlineStr">
        <is>
          <t>Microsoft Entra ID P1 (included in Microsoft 365 Business Premium, E3 and E5).</t>
        </is>
      </c>
      <c r="I3" s="18" t="n"/>
      <c r="J3" s="19" t="n"/>
      <c r="K3" s="19" t="n"/>
      <c r="L3" s="18" t="inlineStr">
        <is>
          <t>To do</t>
        </is>
      </c>
      <c r="M3" s="19" t="n"/>
      <c r="N3" s="20">
        <f>IF(L3="Done",1,IF(L3="In progress",0.5,0))</f>
        <v/>
      </c>
      <c r="O3" s="15">
        <f>IF(AND(ISNUMBER(K3),K3&lt;TODAY(),L3&lt;&gt;"Done",L3&lt;&gt;"Not applicable"),"Yes","")</f>
        <v/>
      </c>
      <c r="P3" s="16" t="inlineStr">
        <is>
          <t>Every policy follows the naming convention; new policies show state 'enabledForReportingButNotEnforced' for at least 7 days before 'enabled'.</t>
        </is>
      </c>
      <c r="Q3" s="21" t="n"/>
    </row>
    <row r="4">
      <c r="A4" s="15" t="inlineStr">
        <is>
          <t>CA03</t>
        </is>
      </c>
      <c r="B4" s="16" t="inlineStr">
        <is>
          <t>Require MFA for all users on all resources with an authentication strength</t>
        </is>
      </c>
      <c r="C4" s="15" t="inlineStr">
        <is>
          <t>Strong authentication for everyone</t>
        </is>
      </c>
      <c r="D4" s="15" t="inlineStr">
        <is>
          <t>Sprint 2 - Enforce MFA and block legacy</t>
        </is>
      </c>
      <c r="E4" s="15" t="inlineStr">
        <is>
          <t>Highest</t>
        </is>
      </c>
      <c r="F4" s="15" t="inlineStr">
        <is>
          <t>2 h + 7 days report-only</t>
        </is>
      </c>
      <c r="G4" s="17" t="n">
        <v>2</v>
      </c>
      <c r="H4" s="16" t="inlineStr">
        <is>
          <t>Microsoft Entra ID P1 (included in Microsoft 365 Business Premium, E3 and E5). Authentication strengths need P1.</t>
        </is>
      </c>
      <c r="I4" s="18" t="n"/>
      <c r="J4" s="19" t="n"/>
      <c r="K4" s="19" t="n"/>
      <c r="L4" s="18" t="inlineStr">
        <is>
          <t>To do</t>
        </is>
      </c>
      <c r="M4" s="19" t="n"/>
      <c r="N4" s="20">
        <f>IF(L4="Done",1,IF(L4="In progress",0.5,0))</f>
        <v/>
      </c>
      <c r="O4" s="15">
        <f>IF(AND(ISNUMBER(K4),K4&lt;TODAY(),L4&lt;&gt;"Done",L4&lt;&gt;"Not applicable"),"Yes","")</f>
        <v/>
      </c>
      <c r="P4" s="16" t="inlineStr">
        <is>
          <t>One policy with All users + All resources + an authentication strength is On; the sign-in logs show no unexpected failures for 7 days.</t>
        </is>
      </c>
      <c r="Q4" s="21" t="n"/>
    </row>
    <row r="5">
      <c r="A5" s="15" t="inlineStr">
        <is>
          <t>CA04</t>
        </is>
      </c>
      <c r="B5" s="16" t="inlineStr">
        <is>
          <t>Block legacy authentication for all users</t>
        </is>
      </c>
      <c r="C5" s="15" t="inlineStr">
        <is>
          <t>Block weak sign-in paths</t>
        </is>
      </c>
      <c r="D5" s="15" t="inlineStr">
        <is>
          <t>Sprint 2 - Enforce MFA and block legacy</t>
        </is>
      </c>
      <c r="E5" s="15" t="inlineStr">
        <is>
          <t>Highest</t>
        </is>
      </c>
      <c r="F5" s="15" t="inlineStr">
        <is>
          <t>1 h + 7 days report-only</t>
        </is>
      </c>
      <c r="G5" s="17" t="n">
        <v>1</v>
      </c>
      <c r="H5" s="16" t="inlineStr">
        <is>
          <t>Microsoft Entra ID P1 (included in Microsoft 365 Business Premium, E3 and E5).</t>
        </is>
      </c>
      <c r="I5" s="18" t="n"/>
      <c r="J5" s="19" t="n"/>
      <c r="K5" s="19" t="n"/>
      <c r="L5" s="18" t="inlineStr">
        <is>
          <t>To do</t>
        </is>
      </c>
      <c r="M5" s="19" t="n"/>
      <c r="N5" s="20">
        <f>IF(L5="Done",1,IF(L5="In progress",0.5,0))</f>
        <v/>
      </c>
      <c r="O5" s="15">
        <f>IF(AND(ISNUMBER(K5),K5&lt;TODAY(),L5&lt;&gt;"Done",L5&lt;&gt;"Not applicable"),"Yes","")</f>
        <v/>
      </c>
      <c r="P5" s="16" t="inlineStr">
        <is>
          <t>A legacy-auth block policy is On; the sign-in logs show no successful sign-ins with Exchange ActiveSync or Other clients.</t>
        </is>
      </c>
      <c r="Q5" s="21" t="n"/>
    </row>
    <row r="6">
      <c r="A6" s="15" t="inlineStr">
        <is>
          <t>CA05</t>
        </is>
      </c>
      <c r="B6" s="16" t="inlineStr">
        <is>
          <t>Require phishing-resistant MFA for administrators</t>
        </is>
      </c>
      <c r="C6" s="15" t="inlineStr">
        <is>
          <t>Strong authentication for everyone</t>
        </is>
      </c>
      <c r="D6" s="15" t="inlineStr">
        <is>
          <t>Sprint 2 - Enforce MFA and block legacy</t>
        </is>
      </c>
      <c r="E6" s="15" t="inlineStr">
        <is>
          <t>Highest</t>
        </is>
      </c>
      <c r="F6" s="15" t="inlineStr">
        <is>
          <t>2 h + 7 days report-only</t>
        </is>
      </c>
      <c r="G6" s="17" t="n">
        <v>2</v>
      </c>
      <c r="H6" s="16" t="inlineStr">
        <is>
          <t>Microsoft Entra ID P1 (included in Microsoft 365 Business Premium, E3 and E5). Passkeys (FIDO2) are available in all editions.</t>
        </is>
      </c>
      <c r="I6" s="18" t="n"/>
      <c r="J6" s="19" t="n"/>
      <c r="K6" s="19" t="n"/>
      <c r="L6" s="18" t="inlineStr">
        <is>
          <t>To do</t>
        </is>
      </c>
      <c r="M6" s="19" t="n"/>
      <c r="N6" s="20">
        <f>IF(L6="Done",1,IF(L6="In progress",0.5,0))</f>
        <v/>
      </c>
      <c r="O6" s="15">
        <f>IF(AND(ISNUMBER(K6),K6&lt;TODAY(),L6&lt;&gt;"Done",L6&lt;&gt;"Not applicable"),"Yes","")</f>
        <v/>
      </c>
      <c r="P6" s="16" t="inlineStr">
        <is>
          <t>A policy with the Phishing-resistant MFA strength covers at least the 14 recommended roles and is On; every admin shows a passkey, FIDO2 or Windows Hello method.</t>
        </is>
      </c>
      <c r="Q6" s="21" t="n"/>
    </row>
  </sheetData>
  <autoFilter ref="A1:Q6"/>
  <conditionalFormatting sqref="A2:Q6">
    <cfRule type="expression" priority="1" dxfId="0">
      <formula>$L2="Done"</formula>
    </cfRule>
    <cfRule type="expression" priority="2" dxfId="1">
      <formula>$L2="Blocked"</formula>
    </cfRule>
    <cfRule type="expression" priority="3" dxfId="2">
      <formula>$L2="In progress"</formula>
    </cfRule>
    <cfRule type="expression" priority="4" dxfId="3">
      <formula>$L2="Not applicable"</formula>
    </cfRule>
  </conditionalFormatting>
  <dataValidations count="2">
    <dataValidation sqref="L2:L6" showDropDown="0" showInputMessage="0" showErrorMessage="1" allowBlank="0" errorTitle="Status" error="Pick a status from the list." type="list">
      <formula1>"To do,In progress,Blocked,Done,Not applicable"</formula1>
    </dataValidation>
    <dataValidation sqref="J2:K6 M2:M6" showDropDown="0" showInputMessage="0" showErrorMessage="1" allowBlank="1" errorTitle="Date" error="Enter a date, e.g. 03/11/2026.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Runbook Lab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